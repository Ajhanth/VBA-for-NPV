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oga\Desktop\Kostestimering\"/>
    </mc:Choice>
  </mc:AlternateContent>
  <xr:revisionPtr revIDLastSave="0" documentId="13_ncr:11_{90C6E48A-FC8C-4ED0-AB2E-F5AB67F0413B}" xr6:coauthVersionLast="45" xr6:coauthVersionMax="45" xr10:uidLastSave="{00000000-0000-0000-0000-000000000000}"/>
  <bookViews>
    <workbookView xWindow="-120" yWindow="-120" windowWidth="29040" windowHeight="17640" xr2:uid="{7506846E-BB73-4A63-BE0D-C00209259982}"/>
  </bookViews>
  <sheets>
    <sheet name="NPV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" i="2" l="1"/>
  <c r="C18" i="2" a="1"/>
  <c r="C18" i="2" l="1"/>
  <c r="C16" i="2"/>
  <c r="C3" i="2"/>
  <c r="C4" i="2"/>
  <c r="C5" i="2"/>
  <c r="C6" i="2"/>
  <c r="C14" i="2" s="1"/>
  <c r="C7" i="2"/>
  <c r="C8" i="2"/>
  <c r="C9" i="2"/>
  <c r="C10" i="2"/>
  <c r="C11" i="2"/>
  <c r="C12" i="2"/>
  <c r="C2" i="2"/>
  <c r="A11" i="2"/>
  <c r="A12" i="2"/>
  <c r="A4" i="2"/>
  <c r="A5" i="2"/>
  <c r="A6" i="2"/>
  <c r="A7" i="2" s="1"/>
  <c r="A8" i="2" s="1"/>
  <c r="A9" i="2" s="1"/>
  <c r="A10" i="2" s="1"/>
  <c r="A3" i="2"/>
  <c r="D14" i="2"/>
  <c r="D12" i="2"/>
  <c r="D11" i="2"/>
  <c r="D10" i="2"/>
  <c r="D9" i="2"/>
  <c r="D4" i="2"/>
  <c r="D3" i="2"/>
  <c r="D5" i="2"/>
  <c r="D2" i="2"/>
  <c r="D7" i="2"/>
  <c r="D6" i="2"/>
  <c r="D8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<sst xmlns="http://schemas.openxmlformats.org/spreadsheetml/2006/main" count="8" uniqueCount="8">
  <si>
    <t>Year</t>
  </si>
  <si>
    <t>CF</t>
  </si>
  <si>
    <t>DCF</t>
  </si>
  <si>
    <t>Discount rate</t>
  </si>
  <si>
    <t>Sum</t>
  </si>
  <si>
    <t>NPV from excel</t>
  </si>
  <si>
    <t>New NPV based on VBA coding</t>
  </si>
  <si>
    <t>Investment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</si>
</sst>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kr&quot;\ #,##0.00;[Red]&quot;kr&quot;\ \-#,##0.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2" fontId="0" fillId="0" borderId="0" xfId="0" applyNumberFormat="1"/>
    <xf numFmtId="8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09040-5FFE-4682-9B47-89025C58E260}">
  <sheetPr codeName="Sheet2"/>
  <dimension ref="A1:G18"/>
  <sheetViews>
    <sheetView tabSelected="1" workbookViewId="0">
      <selection activeCell="F28" sqref="F28"/>
    </sheetView>
  </sheetViews>
  <sheetFormatPr defaultRowHeight="15" x14ac:dyDescent="0.25"/>
  <cols>
    <col min="2" max="2" width="30.85546875" customWidth="1"/>
    <col min="3" max="3" width="9.42578125" bestFit="1" customWidth="1"/>
    <col min="4" max="4" width="17.85546875" customWidth="1"/>
    <col min="5" max="5" width="13.5703125" customWidth="1"/>
    <col min="6" max="6" width="12.42578125" customWidth="1"/>
  </cols>
  <sheetData>
    <row r="1" spans="1:7" x14ac:dyDescent="0.25">
      <c r="A1" s="2" t="s">
        <v>0</v>
      </c>
      <c r="B1" s="2" t="s">
        <v>1</v>
      </c>
      <c r="C1" s="2" t="s">
        <v>2</v>
      </c>
      <c r="D1" s="2"/>
      <c r="F1" s="2" t="s">
        <v>3</v>
      </c>
      <c r="G1">
        <v>0.1</v>
      </c>
    </row>
    <row r="2" spans="1:7" x14ac:dyDescent="0.25">
      <c r="A2" s="1">
        <v>0</v>
      </c>
      <c r="B2" s="1">
        <f>-G2</f>
        <v>-10000</v>
      </c>
      <c r="C2" s="3">
        <f>B2/(1+$G$1)^A2</f>
        <v>-10000</v>
      </c>
      <c r="D2" t="str">
        <f ca="1">_xlfn.FORMULATEXT(C2)</f>
        <v>=B2/(1+$G$1)^A2</v>
      </c>
      <c r="F2" s="2" t="s">
        <v>7</v>
      </c>
      <c r="G2">
        <v>10000</v>
      </c>
    </row>
    <row r="3" spans="1:7" x14ac:dyDescent="0.25">
      <c r="A3" s="1">
        <f>A2+1</f>
        <v>1</v>
      </c>
      <c r="B3" s="1">
        <v>1500</v>
      </c>
      <c r="C3" s="3">
        <f>B3/(1+$G$1)^A3</f>
        <v>1363.6363636363635</v>
      </c>
      <c r="D3" t="str">
        <f t="shared" ref="D3:D12" ca="1" si="0">_xlfn.FORMULATEXT(C3)</f>
        <v>=B3/(1+$G$1)^A3</v>
      </c>
    </row>
    <row r="4" spans="1:7" x14ac:dyDescent="0.25">
      <c r="A4" s="1">
        <f t="shared" ref="A4:A12" si="1">A3+1</f>
        <v>2</v>
      </c>
      <c r="B4" s="1">
        <v>1500</v>
      </c>
      <c r="C4" s="3">
        <f>B4/(1+$G$1)^A4</f>
        <v>1239.6694214876031</v>
      </c>
      <c r="D4" t="str">
        <f t="shared" ca="1" si="0"/>
        <v>=B4/(1+$G$1)^A4</v>
      </c>
    </row>
    <row r="5" spans="1:7" x14ac:dyDescent="0.25">
      <c r="A5" s="1">
        <f t="shared" si="1"/>
        <v>3</v>
      </c>
      <c r="B5" s="1">
        <v>1500</v>
      </c>
      <c r="C5" s="3">
        <f>B5/(1+$G$1)^A5</f>
        <v>1126.9722013523663</v>
      </c>
      <c r="D5" t="str">
        <f t="shared" ca="1" si="0"/>
        <v>=B5/(1+$G$1)^A5</v>
      </c>
    </row>
    <row r="6" spans="1:7" x14ac:dyDescent="0.25">
      <c r="A6" s="1">
        <f t="shared" si="1"/>
        <v>4</v>
      </c>
      <c r="B6" s="1">
        <v>1500</v>
      </c>
      <c r="C6" s="3">
        <f>B6/(1+$G$1)^A6</f>
        <v>1024.5201830476058</v>
      </c>
      <c r="D6" t="str">
        <f t="shared" ca="1" si="0"/>
        <v>=B6/(1+$G$1)^A6</v>
      </c>
    </row>
    <row r="7" spans="1:7" x14ac:dyDescent="0.25">
      <c r="A7" s="1">
        <f t="shared" si="1"/>
        <v>5</v>
      </c>
      <c r="B7" s="1">
        <v>1500</v>
      </c>
      <c r="C7" s="3">
        <f>B7/(1+$G$1)^A7</f>
        <v>931.38198458873239</v>
      </c>
      <c r="D7" t="str">
        <f t="shared" ca="1" si="0"/>
        <v>=B7/(1+$G$1)^A7</v>
      </c>
    </row>
    <row r="8" spans="1:7" x14ac:dyDescent="0.25">
      <c r="A8" s="1">
        <f t="shared" si="1"/>
        <v>6</v>
      </c>
      <c r="B8" s="1">
        <v>1500</v>
      </c>
      <c r="C8" s="3">
        <f>B8/(1+$G$1)^A8</f>
        <v>846.71089508066575</v>
      </c>
      <c r="D8" t="str">
        <f t="shared" ca="1" si="0"/>
        <v>=B8/(1+$G$1)^A8</v>
      </c>
    </row>
    <row r="9" spans="1:7" x14ac:dyDescent="0.25">
      <c r="A9" s="1">
        <f t="shared" si="1"/>
        <v>7</v>
      </c>
      <c r="B9" s="1">
        <v>1500</v>
      </c>
      <c r="C9" s="3">
        <f>B9/(1+$G$1)^A9</f>
        <v>769.73717734605964</v>
      </c>
      <c r="D9" t="str">
        <f t="shared" ca="1" si="0"/>
        <v>=B9/(1+$G$1)^A9</v>
      </c>
    </row>
    <row r="10" spans="1:7" x14ac:dyDescent="0.25">
      <c r="A10" s="1">
        <f t="shared" si="1"/>
        <v>8</v>
      </c>
      <c r="B10" s="1">
        <v>1500</v>
      </c>
      <c r="C10" s="3">
        <f>B10/(1+$G$1)^A10</f>
        <v>699.76107031459981</v>
      </c>
      <c r="D10" t="str">
        <f t="shared" ca="1" si="0"/>
        <v>=B10/(1+$G$1)^A10</v>
      </c>
    </row>
    <row r="11" spans="1:7" x14ac:dyDescent="0.25">
      <c r="A11" s="1">
        <f>A10+1</f>
        <v>9</v>
      </c>
      <c r="B11" s="1">
        <v>1500</v>
      </c>
      <c r="C11" s="3">
        <f>B11/(1+$G$1)^A11</f>
        <v>636.14642755872694</v>
      </c>
      <c r="D11" t="str">
        <f t="shared" ca="1" si="0"/>
        <v>=B11/(1+$G$1)^A11</v>
      </c>
    </row>
    <row r="12" spans="1:7" x14ac:dyDescent="0.25">
      <c r="A12" s="1">
        <f t="shared" si="1"/>
        <v>10</v>
      </c>
      <c r="B12" s="1">
        <v>1500</v>
      </c>
      <c r="C12" s="3">
        <f>B12/(1+$G$1)^A12</f>
        <v>578.31493414429724</v>
      </c>
      <c r="D12" t="str">
        <f t="shared" ca="1" si="0"/>
        <v>=B12/(1+$G$1)^A12</v>
      </c>
    </row>
    <row r="14" spans="1:7" x14ac:dyDescent="0.25">
      <c r="B14" t="s">
        <v>4</v>
      </c>
      <c r="C14" s="3">
        <f>SUM(C2:C12)</f>
        <v>-783.14934144297922</v>
      </c>
      <c r="D14" t="str">
        <f ca="1">_xlfn.FORMULATEXT(C14)</f>
        <v>=SUM(C2:C12)</v>
      </c>
    </row>
    <row r="16" spans="1:7" x14ac:dyDescent="0.25">
      <c r="B16" t="s">
        <v>5</v>
      </c>
      <c r="C16" s="4">
        <f>NPV(G1,B2:B12)</f>
        <v>-711.95394676634601</v>
      </c>
    </row>
    <row r="18" spans="2:3" x14ac:dyDescent="0.25">
      <c r="B18" t="s">
        <v>6</v>
      </c>
      <c r="C18" s="3" cm="1">
        <f t="array" ref="C18">myNPV(G1,B2:B12)</f>
        <v>-783.14934144297933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NPV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Yoga</dc:creator>
  <cp:lastModifiedBy>Yoga</cp:lastModifiedBy>
  <dcterms:created xsi:type="dcterms:W3CDTF">2020-05-23T12:23:58Z</dcterms:created>
  <dcterms:modified xsi:type="dcterms:W3CDTF">2020-08-16T10:44:26Z</dcterms:modified>
</cp:coreProperties>
</file>